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202\EY-DataShare\Ritu\Mart Tracker\Risk\RISK_LOAN_ACCOUNT_MART_FACT_V1\"/>
    </mc:Choice>
  </mc:AlternateContent>
  <bookViews>
    <workbookView xWindow="0" yWindow="0" windowWidth="19200" windowHeight="6470"/>
  </bookViews>
  <sheets>
    <sheet name="Pseudo code" sheetId="1" r:id="rId1"/>
    <sheet name="Joining Condi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<sst xmlns="http://schemas.openxmlformats.org/spreadsheetml/2006/main" count="269" uniqueCount="135">
  <si>
    <t>Attribute</t>
  </si>
  <si>
    <t>Type</t>
  </si>
  <si>
    <t>Base/Derived</t>
  </si>
  <si>
    <t>Data Type</t>
  </si>
  <si>
    <t>L2  Base Table Used</t>
  </si>
  <si>
    <t>L2 Base columns used</t>
  </si>
  <si>
    <t>L1 Base Tables Used</t>
  </si>
  <si>
    <t>L1 Base columns used</t>
  </si>
  <si>
    <t>Attribute Definition</t>
  </si>
  <si>
    <t>loan_no</t>
  </si>
  <si>
    <t>Key</t>
  </si>
  <si>
    <t>Base</t>
  </si>
  <si>
    <t>varchar 255</t>
  </si>
  <si>
    <t>loan_account_details</t>
  </si>
  <si>
    <t>LN_ACCT_DTLS</t>
  </si>
  <si>
    <t>COD_ACCT_NO</t>
  </si>
  <si>
    <t>Unique identifier assigned to each loan account.</t>
  </si>
  <si>
    <t>disbursal amount</t>
  </si>
  <si>
    <t>KPI</t>
  </si>
  <si>
    <t>float</t>
  </si>
  <si>
    <t>disb_amount</t>
  </si>
  <si>
    <t>LN_ACCT_BALANCES</t>
  </si>
  <si>
    <t>AMT_DISBURSED</t>
  </si>
  <si>
    <t>Total amount disbursed to the borrower under the loan.</t>
  </si>
  <si>
    <t>emi amount</t>
  </si>
  <si>
    <t>emi_amount</t>
  </si>
  <si>
    <t>LN_ACCT_STATE</t>
  </si>
  <si>
    <t>amt_next_due</t>
  </si>
  <si>
    <t xml:space="preserve"> Fixed monthly payment made by the borrower toward loan repayment.</t>
  </si>
  <si>
    <t>CURR_ROI</t>
  </si>
  <si>
    <t>pos</t>
  </si>
  <si>
    <t>principal_outstanding</t>
  </si>
  <si>
    <t>AMT_PRINC_BALANCE</t>
  </si>
  <si>
    <t>Principal Outstanding, the unpaid portion of the loan principal.</t>
  </si>
  <si>
    <t>aum</t>
  </si>
  <si>
    <t>Assets Under Management, total value of loans managed.</t>
  </si>
  <si>
    <t>foir</t>
  </si>
  <si>
    <t>customer_details_flexcube</t>
  </si>
  <si>
    <t>FOIR</t>
  </si>
  <si>
    <t>ci_custmast_ext</t>
  </si>
  <si>
    <t>Fixed Obligation to Income Ratio, measuring a borrower's repayment capacity.</t>
  </si>
  <si>
    <t xml:space="preserve">left join
risk_loan_account_mart.cust_id=customer_details_flexcube.cust_id_flex
</t>
  </si>
  <si>
    <t>dpd</t>
  </si>
  <si>
    <t>loan_dpd</t>
  </si>
  <si>
    <t>AC_ACCT_DPD_DAILY</t>
  </si>
  <si>
    <t>dpd_value</t>
  </si>
  <si>
    <t>Days Past Due, indicating the number of days a payment is overdue.</t>
  </si>
  <si>
    <t>mob</t>
  </si>
  <si>
    <t>leave as blank</t>
  </si>
  <si>
    <t>Months on Book, indicating how long the loan has been active.</t>
  </si>
  <si>
    <t>ro vintage</t>
  </si>
  <si>
    <t>number (38,0)</t>
  </si>
  <si>
    <t>sales_hierarchy_mart</t>
  </si>
  <si>
    <t>today()-dateofjoining</t>
  </si>
  <si>
    <t>Age of the relationship officer in terms of tenure with the organization.</t>
  </si>
  <si>
    <t xml:space="preserve">left join
risk_loan_account_mart.ro_id=sales_hierarchy_mart.ro_id
</t>
  </si>
  <si>
    <t>To be derived from employee mart</t>
  </si>
  <si>
    <t>branch vintage</t>
  </si>
  <si>
    <t>Age of the branch in terms of operational tenure.</t>
  </si>
  <si>
    <t>c_date</t>
  </si>
  <si>
    <t>Dimension</t>
  </si>
  <si>
    <t>Derived</t>
  </si>
  <si>
    <t>date</t>
  </si>
  <si>
    <t>present date + 1 month</t>
  </si>
  <si>
    <t>Specific calendar date relevant to the transaction or record.</t>
  </si>
  <si>
    <t>portfolio_financial_year</t>
  </si>
  <si>
    <t>WHEN (date_part(MONTH,today())) &lt;=3 
THEN date_part(year,today())-1 || '-' || date_part(year,today())
else date_part(year,today()) || '-' || date_part(year,today())+1
END AS PORTFOLIO_FINANCIAL_YEAR,</t>
  </si>
  <si>
    <t>Financial year in which the loan portfolio is being evaluated.</t>
  </si>
  <si>
    <t>disbursal_financial_year</t>
  </si>
  <si>
    <t>WHEN (date_part(MONTH,t1.first_disbursal_date)) &lt;=3 
THEN date_part(year,t1.first_disbursal_date)-1 || '-' || date_part(year,t1.first_disbursal_date)
else date_part(year,t1.first_disbursal_date) || '-' || date_part(year,t1.first_disbursal_date)+1
END AS DISBURSAL_FINANCIAL_YEAR,</t>
  </si>
  <si>
    <t>Financial year in which the loan was disbursed.</t>
  </si>
  <si>
    <t>delinquency_profile</t>
  </si>
  <si>
    <t xml:space="preserve">when dpd_0_flag=1 
then '0 dpd'
when dpd_0_flag=0 and dpd_90_plus_flag1=0
then '1-90 dpd'
when dpd_90_plus_flag1=1
then '90+ dpd'
</t>
  </si>
  <si>
    <t>Summary of a customer's loan repayment behavior and overdue status.</t>
  </si>
  <si>
    <t>dpd_0_flag</t>
  </si>
  <si>
    <t xml:space="preserve">loan_dpd =  0
IF
loan_dpd=0 
THEN 1 ELSE 0 </t>
  </si>
  <si>
    <t>Indicator showing if the loan has zero days past due.</t>
  </si>
  <si>
    <t>dpd_1plus_flag</t>
  </si>
  <si>
    <t xml:space="preserve">loan_dpd &gt; 0
IF
loan_dpd=0 
THEN 1 ELSE 0 </t>
  </si>
  <si>
    <t xml:space="preserve"> Indicator showing if the loan is overdue by at least one day.</t>
  </si>
  <si>
    <t>dpd_30plus_flag</t>
  </si>
  <si>
    <t xml:space="preserve">loan_dpd &gt; 30
IF
loan_dpd=0 
THEN 1 ELSE 0 </t>
  </si>
  <si>
    <t>Indicator showing if the loan is overdue by 30 days or more.</t>
  </si>
  <si>
    <t>dpd_60plus_flag</t>
  </si>
  <si>
    <t xml:space="preserve">loan_dpd &gt; 60
IF
loan_dpd=0 
THEN 1 ELSE 0 </t>
  </si>
  <si>
    <t>Indicator showing if the loan is overdue by 60 days or more.</t>
  </si>
  <si>
    <t>dpd_90plus_flag</t>
  </si>
  <si>
    <t xml:space="preserve">loan_dpd &gt;  90
IF
loan_dpd=0 
THEN 1 ELSE 0 </t>
  </si>
  <si>
    <t>Indicator showing if the loan is overdue by 90 days or more.</t>
  </si>
  <si>
    <t>dpd_180plus_flag</t>
  </si>
  <si>
    <t xml:space="preserve">loan_dpd &gt; 180
IF
loan_dpd=0 
THEN 1 ELSE 0 </t>
  </si>
  <si>
    <t>Indicator showing if the loan is overdue by 180 days or more.</t>
  </si>
  <si>
    <t>dpd_90_plus_aum</t>
  </si>
  <si>
    <t>when
dpd_90_plus_flag=1 
then aum
else
0</t>
  </si>
  <si>
    <t>Value of assets under management with loans overdue by 90+ days.</t>
  </si>
  <si>
    <t>dpd_0_aum</t>
  </si>
  <si>
    <t>when
dpd_0_flag1=1 
then aum
else
0</t>
  </si>
  <si>
    <t>Value of assets under management with no overdue payments.</t>
  </si>
  <si>
    <t>dpd_1_plus_aum</t>
  </si>
  <si>
    <t>when
dpd_1_plus_flag1=1 
then aum
else
0</t>
  </si>
  <si>
    <t xml:space="preserve"> Value of assets under management with loans overdue by at least one day.</t>
  </si>
  <si>
    <t>dpd_30_plus_aum</t>
  </si>
  <si>
    <t>when
dpd_30_plus_flag1=1 
then aum
else
0</t>
  </si>
  <si>
    <t>Value of assets under management with loans overdue by 30+ days.</t>
  </si>
  <si>
    <t>dpd_60_plus_aum</t>
  </si>
  <si>
    <t>when
dpd_60_plus_flag1=1 
then aum
else
0</t>
  </si>
  <si>
    <t>Value of assets under management with loans overdue by 60+ days.</t>
  </si>
  <si>
    <t>LAST_MNT_DATE</t>
  </si>
  <si>
    <t>LAST_REPAY_DATE</t>
  </si>
  <si>
    <t>BUSINESS_DATE</t>
  </si>
  <si>
    <t>REPORTED_DPD</t>
  </si>
  <si>
    <t>LOAN_CURR_RATE</t>
  </si>
  <si>
    <t>Current Rate of Interest applicable to the loan.</t>
  </si>
  <si>
    <t>Date</t>
  </si>
  <si>
    <t>REPAY_DATE</t>
  </si>
  <si>
    <t>DISHA_L2_CURATED.BASE_MODEL_DATA.PAYMENT_DETAILS</t>
  </si>
  <si>
    <t>DATEADD(DAY,-1,:START_DATE) AS BUSINESS_DATE,</t>
  </si>
  <si>
    <t>DISHA_L2_CURATED.BASE_MODEL_DATA.SCHEDULE_DETAILS</t>
  </si>
  <si>
    <t>START_DATE</t>
  </si>
  <si>
    <t>CASE WHEN DPD_90PLUS_FLAG=1 and DPD &lt;= 90 THEN 91 ELSE DPD END AS REPORTED_DPD</t>
  </si>
  <si>
    <t>DPD_90PLUS_FLAG, DPD</t>
  </si>
  <si>
    <t>FLOAT</t>
  </si>
  <si>
    <t>ln_arrears_table</t>
  </si>
  <si>
    <t>dat_arrears_assessed</t>
  </si>
  <si>
    <t>L2 Table Joining condition</t>
  </si>
  <si>
    <t>L2 Table Transformation</t>
  </si>
  <si>
    <t>Date of the last maintenance or update made to the loan record.</t>
  </si>
  <si>
    <t>Date on which the last repayment was made by the borrower.</t>
  </si>
  <si>
    <t>Operational date relevant to the financial transaction or reporting.</t>
  </si>
  <si>
    <t>Number of days past due as officially reported.</t>
  </si>
  <si>
    <t xml:space="preserve">LEFT JOIN (SELECT * FROM DISHA_MART_ANALYTICS.SALES_CREDIT_MART.LOAN_ACCOUNT_MART WHERE 
  DATE(START_TIMESTAMP) &lt;=:START_DATE AND (DATE(END_TIMESTAMP) &gt; :START_DATE OR END_TIMESTAMP IS NULL) AND ACTIVATION_FLAG&lt;&gt;9) LAM
     ON TRIM(LAD.LOAN_NO)=TRIM(LAM.LOAN_ACCOUNT_NUMBER)
     LEFT JOIN (SELECT * FROM DISHA_MART_ANALYTICS.SALES_CREDIT_MART.SALES_HIERARCHY_MART WHERE DATE(START_TIMESTAMP) &lt;=:START_DATE AND (DATE(END_TIMESTAMP) &gt; :START_DATE OR END_TIMESTAMP IS NULL )
  QUALIFY ROW_NUMBER() OVER(PARTITION BY EMPLOYEE_ID ORDER BY START_TIMESTAMP DESC)=1) SH_MART
     ON TRIM(LAM.EMPLOYEE_CODE)=TRIM(SH_MART.EMPLOYEE_ID)
     LEFT JOIN ( SELECT LOAN_NO,MAX(REPAY_DATE) AS REPAY_DATE FROM DISHA_L2_CURATED.BASE_MODEL_DATA.PAYMENT_DETAILS WHERE DATE(START_DATE) &lt;=:START_DATE AND (DATE(END_DATE) &gt; :START_DATE OR END_DATE IS NULL) AND ACTIVATION_FLAG&lt;&gt;9
     GROUP BY LOAN_NO) PYMT_DTL
     ON TRIM(LAD.LOAN_NO)=TRIM(PYMT_DTL.LOAN_NO)
  LEFT JOIN(
    SELECT 
      a.loan_no,
      min(a.instal_amount) AS emi_amount
     FROM (
      SELECT 
       loan_no,
       ctr_no,
       instal_amount,
       instal_no
      FROM DISHA_L2_CURATED.BASE_MODEL_DATA.SCHEDULE_DETAILS WHERE DATE(START_DATE) &lt;=:START_DATE AND (DATE(END_DATE) &gt; :START_DATE OR END_DATE IS NULL) AND ACTIVATION_FLAG&lt;&gt;9
     ) a
     INNER JOIN (
      SELECT 
       loan_no,
       CASE 
        WHEN COUNT(*) = 1 THEN MAX(instal_no)
        ELSE MAX(instal_no) - 1
       END AS instal_no
      FROM DISHA_L2_CURATED.BASE_MODEL_DATA.SCHEDULE_DETAILS WHERE DATE(START_DATE) &lt;=:START_DATE AND (DATE(END_DATE) &gt; :START_DATE OR END_DATE IS NULL) AND ACTIVATION_FLAG&lt;&gt;9
      GROUP BY loan_no
     ) b 
      ON a.loan_no = b.loan_no 
     AND a.instal_no = b.instal_no
     GROUP BY a.loan_no
     )SCHE_DTL
  ON TRIM(LAD.LOAN_NO)=TRIM(SCHE_DTL.LOAN_NO));
      </t>
  </si>
  <si>
    <t>INNER JOIN (
      SELECT 
       loan_no,
       CASE 
        WHEN COUNT(*) = 1 THEN MAX(instal_no)
        ELSE MAX(instal_no) - 1
       END AS instal_no
      FROM DISHA_L2_CURATED.BASE_MODEL_DATA.SCHEDULE_DETAILS WHERE DATE(START_DATE) &lt;=:START_DATE AND (DATE(END_DATE) &gt; :START_DATE OR END_DATE IS NULL) AND ACTIVATION_FLAG&lt;&gt;9
      GROUP BY loan_no
     ) b 
      ON a.loan_no = b.loan_no 
     AND a.instal_no = b.instal_no
     GROUP BY a.loan_no
     )SCHE_DTL
  ON TRIM(LAD.LOAN_NO)=TRIM(SCHE_DTL.LOAN_NO));</t>
  </si>
  <si>
    <t>LN_ACCT_SCHEDULE_DETLS</t>
  </si>
  <si>
    <t>Schema</t>
  </si>
  <si>
    <t>FLEX_LMS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</si>
</sst>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1D1C1D"/>
      <name val="Calibri"/>
      <family val="2"/>
      <scheme val="minor"/>
    </font>
    <font>
      <sz val="10"/>
      <color rgb="FF0A0A0A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0" fillId="3" borderId="0" xfId="0" applyFill="1" applyBorder="1"/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24" zoomScale="60" zoomScaleNormal="60" workbookViewId="0">
      <selection activeCell="I30" sqref="I30"/>
    </sheetView>
  </sheetViews>
  <sheetFormatPr defaultRowHeight="14.5" x14ac:dyDescent="0.35"/>
  <cols>
    <col min="1" max="1" width="26.36328125" customWidth="1"/>
    <col min="2" max="2" width="12.08984375" customWidth="1"/>
    <col min="3" max="3" width="11.08984375" bestFit="1" customWidth="1"/>
    <col min="4" max="4" width="12.1796875" bestFit="1" customWidth="1"/>
    <col min="5" max="5" width="22.36328125" bestFit="1" customWidth="1"/>
    <col min="6" max="6" width="26.81640625" customWidth="1"/>
    <col min="7" max="7" width="27" customWidth="1"/>
    <col min="8" max="9" width="43.1796875" customWidth="1"/>
    <col min="10" max="10" width="17.6328125" bestFit="1" customWidth="1"/>
    <col min="11" max="11" width="19.08984375" bestFit="1" customWidth="1"/>
    <col min="12" max="12" width="60.36328125" customWidth="1"/>
    <col min="13" max="13" width="8.7265625" style="8"/>
  </cols>
  <sheetData>
    <row r="1" spans="1:13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124</v>
      </c>
      <c r="H1" s="9" t="s">
        <v>125</v>
      </c>
      <c r="I1" s="9" t="s">
        <v>133</v>
      </c>
      <c r="J1" s="10" t="s">
        <v>6</v>
      </c>
      <c r="K1" s="10" t="s">
        <v>7</v>
      </c>
      <c r="L1" s="9" t="s">
        <v>8</v>
      </c>
      <c r="M1" s="6"/>
    </row>
    <row r="2" spans="1:13" x14ac:dyDescent="0.35">
      <c r="A2" s="11" t="s">
        <v>9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9</v>
      </c>
      <c r="G2" s="11"/>
      <c r="H2" s="11"/>
      <c r="I2" s="11" t="s">
        <v>134</v>
      </c>
      <c r="J2" s="1" t="s">
        <v>14</v>
      </c>
      <c r="K2" s="2" t="s">
        <v>15</v>
      </c>
      <c r="L2" s="11" t="s">
        <v>16</v>
      </c>
      <c r="M2" s="7"/>
    </row>
    <row r="3" spans="1:13" x14ac:dyDescent="0.35">
      <c r="A3" s="12" t="s">
        <v>17</v>
      </c>
      <c r="B3" s="11" t="s">
        <v>18</v>
      </c>
      <c r="C3" s="11" t="s">
        <v>11</v>
      </c>
      <c r="D3" s="11" t="s">
        <v>19</v>
      </c>
      <c r="E3" s="11" t="s">
        <v>13</v>
      </c>
      <c r="F3" s="11" t="s">
        <v>20</v>
      </c>
      <c r="G3" s="5"/>
      <c r="H3" s="5"/>
      <c r="I3" s="11" t="s">
        <v>134</v>
      </c>
      <c r="J3" s="3" t="s">
        <v>21</v>
      </c>
      <c r="K3" s="2" t="s">
        <v>22</v>
      </c>
      <c r="L3" s="11" t="s">
        <v>23</v>
      </c>
    </row>
    <row r="4" spans="1:13" x14ac:dyDescent="0.35">
      <c r="A4" s="12" t="s">
        <v>24</v>
      </c>
      <c r="B4" s="11" t="s">
        <v>18</v>
      </c>
      <c r="C4" s="11" t="s">
        <v>11</v>
      </c>
      <c r="D4" s="11" t="s">
        <v>19</v>
      </c>
      <c r="E4" s="11" t="s">
        <v>13</v>
      </c>
      <c r="F4" s="11" t="s">
        <v>25</v>
      </c>
      <c r="G4" s="5"/>
      <c r="H4" s="5"/>
      <c r="I4" s="11" t="s">
        <v>134</v>
      </c>
      <c r="J4" s="2" t="s">
        <v>26</v>
      </c>
      <c r="K4" s="2" t="s">
        <v>27</v>
      </c>
      <c r="L4" s="11" t="s">
        <v>28</v>
      </c>
    </row>
    <row r="5" spans="1:13" x14ac:dyDescent="0.35">
      <c r="A5" s="4" t="s">
        <v>29</v>
      </c>
      <c r="B5" s="11" t="s">
        <v>18</v>
      </c>
      <c r="C5" s="11" t="s">
        <v>11</v>
      </c>
      <c r="D5" s="11" t="s">
        <v>19</v>
      </c>
      <c r="E5" s="11" t="s">
        <v>13</v>
      </c>
      <c r="F5" s="5" t="s">
        <v>111</v>
      </c>
      <c r="G5" s="5"/>
      <c r="H5" s="5"/>
      <c r="I5" s="11" t="s">
        <v>134</v>
      </c>
      <c r="J5" s="5"/>
      <c r="K5" s="5"/>
      <c r="L5" s="5" t="s">
        <v>112</v>
      </c>
    </row>
    <row r="6" spans="1:13" x14ac:dyDescent="0.35">
      <c r="A6" s="12" t="s">
        <v>30</v>
      </c>
      <c r="B6" s="11" t="s">
        <v>18</v>
      </c>
      <c r="C6" s="11" t="s">
        <v>11</v>
      </c>
      <c r="D6" s="11" t="s">
        <v>19</v>
      </c>
      <c r="E6" s="11" t="s">
        <v>13</v>
      </c>
      <c r="F6" s="13" t="s">
        <v>31</v>
      </c>
      <c r="G6" s="5"/>
      <c r="H6" s="5"/>
      <c r="I6" s="11" t="s">
        <v>134</v>
      </c>
      <c r="J6" s="3" t="s">
        <v>21</v>
      </c>
      <c r="K6" s="2" t="s">
        <v>32</v>
      </c>
      <c r="L6" s="14" t="s">
        <v>33</v>
      </c>
    </row>
    <row r="7" spans="1:13" x14ac:dyDescent="0.35">
      <c r="A7" s="12" t="s">
        <v>34</v>
      </c>
      <c r="B7" s="11" t="s">
        <v>18</v>
      </c>
      <c r="C7" s="11" t="s">
        <v>11</v>
      </c>
      <c r="D7" s="11" t="s">
        <v>19</v>
      </c>
      <c r="E7" s="11" t="s">
        <v>13</v>
      </c>
      <c r="F7" s="13" t="s">
        <v>31</v>
      </c>
      <c r="G7" s="5"/>
      <c r="H7" s="5"/>
      <c r="I7" s="11" t="s">
        <v>134</v>
      </c>
      <c r="J7" s="3" t="s">
        <v>21</v>
      </c>
      <c r="K7" s="2" t="s">
        <v>32</v>
      </c>
      <c r="L7" s="14" t="s">
        <v>35</v>
      </c>
    </row>
    <row r="8" spans="1:13" ht="65" x14ac:dyDescent="0.35">
      <c r="A8" s="12" t="s">
        <v>36</v>
      </c>
      <c r="B8" s="11" t="s">
        <v>18</v>
      </c>
      <c r="C8" s="11" t="s">
        <v>11</v>
      </c>
      <c r="D8" s="11" t="s">
        <v>19</v>
      </c>
      <c r="E8" s="11" t="s">
        <v>37</v>
      </c>
      <c r="F8" s="15" t="s">
        <v>38</v>
      </c>
      <c r="G8" s="4" t="s">
        <v>41</v>
      </c>
      <c r="H8" s="5"/>
      <c r="I8" s="5" t="s">
        <v>134</v>
      </c>
      <c r="J8" s="2" t="s">
        <v>39</v>
      </c>
      <c r="K8" s="2" t="s">
        <v>36</v>
      </c>
      <c r="L8" s="15" t="s">
        <v>40</v>
      </c>
    </row>
    <row r="9" spans="1:13" x14ac:dyDescent="0.35">
      <c r="A9" s="12" t="s">
        <v>42</v>
      </c>
      <c r="B9" s="11" t="s">
        <v>18</v>
      </c>
      <c r="C9" s="11" t="s">
        <v>11</v>
      </c>
      <c r="D9" s="11" t="s">
        <v>19</v>
      </c>
      <c r="E9" s="11" t="s">
        <v>13</v>
      </c>
      <c r="F9" s="11" t="s">
        <v>43</v>
      </c>
      <c r="G9" s="5"/>
      <c r="H9" s="5"/>
      <c r="I9" s="5" t="s">
        <v>134</v>
      </c>
      <c r="J9" s="2" t="s">
        <v>44</v>
      </c>
      <c r="K9" s="2" t="s">
        <v>45</v>
      </c>
      <c r="L9" s="11" t="s">
        <v>46</v>
      </c>
    </row>
    <row r="10" spans="1:13" x14ac:dyDescent="0.35">
      <c r="A10" s="12" t="s">
        <v>47</v>
      </c>
      <c r="B10" s="11" t="s">
        <v>18</v>
      </c>
      <c r="C10" s="11" t="s">
        <v>48</v>
      </c>
      <c r="D10" s="11" t="s">
        <v>19</v>
      </c>
      <c r="E10" s="11" t="s">
        <v>48</v>
      </c>
      <c r="F10" s="11" t="s">
        <v>48</v>
      </c>
      <c r="G10" s="5"/>
      <c r="H10" s="5"/>
      <c r="I10" s="5"/>
      <c r="J10" s="14"/>
      <c r="K10" s="14"/>
      <c r="L10" s="11" t="s">
        <v>49</v>
      </c>
    </row>
    <row r="11" spans="1:13" ht="52" x14ac:dyDescent="0.35">
      <c r="A11" s="12" t="s">
        <v>50</v>
      </c>
      <c r="B11" s="11" t="s">
        <v>18</v>
      </c>
      <c r="C11" s="11" t="s">
        <v>11</v>
      </c>
      <c r="D11" s="11" t="s">
        <v>51</v>
      </c>
      <c r="E11" s="11" t="s">
        <v>52</v>
      </c>
      <c r="F11" s="16" t="s">
        <v>53</v>
      </c>
      <c r="G11" s="4" t="s">
        <v>55</v>
      </c>
      <c r="H11" s="11" t="s">
        <v>56</v>
      </c>
      <c r="I11" s="11"/>
      <c r="J11" s="14"/>
      <c r="K11" s="14"/>
      <c r="L11" s="16" t="s">
        <v>54</v>
      </c>
    </row>
    <row r="12" spans="1:13" x14ac:dyDescent="0.35">
      <c r="A12" s="12" t="s">
        <v>57</v>
      </c>
      <c r="B12" s="11" t="s">
        <v>18</v>
      </c>
      <c r="C12" s="11" t="s">
        <v>61</v>
      </c>
      <c r="D12" s="11" t="s">
        <v>51</v>
      </c>
      <c r="E12" s="11"/>
      <c r="F12" s="11"/>
      <c r="G12" s="11"/>
      <c r="H12" s="11" t="s">
        <v>56</v>
      </c>
      <c r="I12" s="11"/>
      <c r="J12" s="14"/>
      <c r="K12" s="14"/>
      <c r="L12" s="11" t="s">
        <v>58</v>
      </c>
      <c r="M12" s="7"/>
    </row>
    <row r="13" spans="1:13" x14ac:dyDescent="0.35">
      <c r="A13" s="12" t="s">
        <v>59</v>
      </c>
      <c r="B13" s="11" t="s">
        <v>60</v>
      </c>
      <c r="C13" s="11" t="s">
        <v>61</v>
      </c>
      <c r="D13" s="11" t="s">
        <v>62</v>
      </c>
      <c r="E13" s="11"/>
      <c r="F13" s="5"/>
      <c r="G13" s="11"/>
      <c r="H13" s="11" t="s">
        <v>63</v>
      </c>
      <c r="I13" s="11"/>
      <c r="J13" s="14"/>
      <c r="K13" s="14"/>
      <c r="L13" s="11" t="s">
        <v>64</v>
      </c>
      <c r="M13" s="7"/>
    </row>
    <row r="14" spans="1:13" ht="78" x14ac:dyDescent="0.35">
      <c r="A14" s="12" t="s">
        <v>65</v>
      </c>
      <c r="B14" s="11" t="s">
        <v>60</v>
      </c>
      <c r="C14" s="11" t="s">
        <v>61</v>
      </c>
      <c r="D14" s="11" t="s">
        <v>12</v>
      </c>
      <c r="E14" s="11"/>
      <c r="F14" s="5"/>
      <c r="G14" s="11"/>
      <c r="H14" s="4" t="s">
        <v>66</v>
      </c>
      <c r="I14" s="4"/>
      <c r="J14" s="17"/>
      <c r="K14" s="17"/>
      <c r="L14" s="4" t="s">
        <v>67</v>
      </c>
      <c r="M14" s="7"/>
    </row>
    <row r="15" spans="1:13" ht="91" x14ac:dyDescent="0.35">
      <c r="A15" s="12" t="s">
        <v>68</v>
      </c>
      <c r="B15" s="11" t="s">
        <v>60</v>
      </c>
      <c r="C15" s="11" t="s">
        <v>61</v>
      </c>
      <c r="D15" s="11" t="s">
        <v>12</v>
      </c>
      <c r="E15" s="11"/>
      <c r="F15" s="5"/>
      <c r="G15" s="5"/>
      <c r="H15" s="4" t="s">
        <v>69</v>
      </c>
      <c r="I15" s="4"/>
      <c r="J15" s="17"/>
      <c r="K15" s="17"/>
      <c r="L15" s="4" t="s">
        <v>70</v>
      </c>
    </row>
    <row r="16" spans="1:13" ht="91" x14ac:dyDescent="0.35">
      <c r="A16" s="12" t="s">
        <v>71</v>
      </c>
      <c r="B16" s="11" t="s">
        <v>60</v>
      </c>
      <c r="C16" s="11" t="s">
        <v>61</v>
      </c>
      <c r="D16" s="11" t="s">
        <v>12</v>
      </c>
      <c r="E16" s="11"/>
      <c r="F16" s="5"/>
      <c r="G16" s="5"/>
      <c r="H16" s="4" t="s">
        <v>72</v>
      </c>
      <c r="I16" s="4"/>
      <c r="J16" s="17"/>
      <c r="K16" s="17"/>
      <c r="L16" s="4" t="s">
        <v>73</v>
      </c>
    </row>
    <row r="17" spans="1:12" ht="52" x14ac:dyDescent="0.35">
      <c r="A17" s="12" t="s">
        <v>74</v>
      </c>
      <c r="B17" s="11" t="s">
        <v>60</v>
      </c>
      <c r="C17" s="11" t="s">
        <v>11</v>
      </c>
      <c r="D17" s="11" t="s">
        <v>51</v>
      </c>
      <c r="E17" s="11" t="s">
        <v>13</v>
      </c>
      <c r="F17" s="5" t="s">
        <v>43</v>
      </c>
      <c r="G17" s="5"/>
      <c r="H17" s="4" t="s">
        <v>75</v>
      </c>
      <c r="I17" s="4" t="s">
        <v>134</v>
      </c>
      <c r="J17" s="2" t="s">
        <v>44</v>
      </c>
      <c r="K17" s="2" t="s">
        <v>45</v>
      </c>
      <c r="L17" s="4" t="s">
        <v>76</v>
      </c>
    </row>
    <row r="18" spans="1:12" ht="52" x14ac:dyDescent="0.35">
      <c r="A18" s="12" t="s">
        <v>77</v>
      </c>
      <c r="B18" s="11" t="s">
        <v>60</v>
      </c>
      <c r="C18" s="11" t="s">
        <v>11</v>
      </c>
      <c r="D18" s="11" t="s">
        <v>51</v>
      </c>
      <c r="E18" s="11" t="s">
        <v>13</v>
      </c>
      <c r="F18" s="5" t="s">
        <v>43</v>
      </c>
      <c r="G18" s="5"/>
      <c r="H18" s="4" t="s">
        <v>78</v>
      </c>
      <c r="I18" s="4" t="s">
        <v>134</v>
      </c>
      <c r="J18" s="2" t="s">
        <v>44</v>
      </c>
      <c r="K18" s="2" t="s">
        <v>45</v>
      </c>
      <c r="L18" s="4" t="s">
        <v>79</v>
      </c>
    </row>
    <row r="19" spans="1:12" ht="52" x14ac:dyDescent="0.35">
      <c r="A19" s="12" t="s">
        <v>80</v>
      </c>
      <c r="B19" s="11" t="s">
        <v>60</v>
      </c>
      <c r="C19" s="11" t="s">
        <v>11</v>
      </c>
      <c r="D19" s="11" t="s">
        <v>51</v>
      </c>
      <c r="E19" s="11" t="s">
        <v>13</v>
      </c>
      <c r="F19" s="5" t="s">
        <v>43</v>
      </c>
      <c r="G19" s="5"/>
      <c r="H19" s="4" t="s">
        <v>81</v>
      </c>
      <c r="I19" s="4" t="s">
        <v>134</v>
      </c>
      <c r="J19" s="2" t="s">
        <v>44</v>
      </c>
      <c r="K19" s="2" t="s">
        <v>45</v>
      </c>
      <c r="L19" s="4" t="s">
        <v>82</v>
      </c>
    </row>
    <row r="20" spans="1:12" ht="52" x14ac:dyDescent="0.35">
      <c r="A20" s="12" t="s">
        <v>83</v>
      </c>
      <c r="B20" s="11" t="s">
        <v>60</v>
      </c>
      <c r="C20" s="11" t="s">
        <v>11</v>
      </c>
      <c r="D20" s="11" t="s">
        <v>51</v>
      </c>
      <c r="E20" s="11" t="s">
        <v>13</v>
      </c>
      <c r="F20" s="5" t="s">
        <v>43</v>
      </c>
      <c r="G20" s="5"/>
      <c r="H20" s="4" t="s">
        <v>84</v>
      </c>
      <c r="I20" s="4" t="s">
        <v>134</v>
      </c>
      <c r="J20" s="2" t="s">
        <v>44</v>
      </c>
      <c r="K20" s="2" t="s">
        <v>45</v>
      </c>
      <c r="L20" s="4" t="s">
        <v>85</v>
      </c>
    </row>
    <row r="21" spans="1:12" ht="52" x14ac:dyDescent="0.35">
      <c r="A21" s="12" t="s">
        <v>86</v>
      </c>
      <c r="B21" s="11" t="s">
        <v>60</v>
      </c>
      <c r="C21" s="11" t="s">
        <v>11</v>
      </c>
      <c r="D21" s="11" t="s">
        <v>51</v>
      </c>
      <c r="E21" s="11" t="s">
        <v>13</v>
      </c>
      <c r="F21" s="5" t="s">
        <v>43</v>
      </c>
      <c r="G21" s="5"/>
      <c r="H21" s="4" t="s">
        <v>87</v>
      </c>
      <c r="I21" s="4" t="s">
        <v>134</v>
      </c>
      <c r="J21" s="2" t="s">
        <v>44</v>
      </c>
      <c r="K21" s="2" t="s">
        <v>45</v>
      </c>
      <c r="L21" s="4" t="s">
        <v>88</v>
      </c>
    </row>
    <row r="22" spans="1:12" ht="52" x14ac:dyDescent="0.35">
      <c r="A22" s="12" t="s">
        <v>89</v>
      </c>
      <c r="B22" s="11" t="s">
        <v>60</v>
      </c>
      <c r="C22" s="11" t="s">
        <v>11</v>
      </c>
      <c r="D22" s="11" t="s">
        <v>51</v>
      </c>
      <c r="E22" s="11" t="s">
        <v>13</v>
      </c>
      <c r="F22" s="5" t="s">
        <v>43</v>
      </c>
      <c r="G22" s="5"/>
      <c r="H22" s="4" t="s">
        <v>90</v>
      </c>
      <c r="I22" s="4" t="s">
        <v>134</v>
      </c>
      <c r="J22" s="2" t="s">
        <v>44</v>
      </c>
      <c r="K22" s="2" t="s">
        <v>45</v>
      </c>
      <c r="L22" s="4" t="s">
        <v>91</v>
      </c>
    </row>
    <row r="23" spans="1:12" ht="65" x14ac:dyDescent="0.35">
      <c r="A23" s="12" t="s">
        <v>92</v>
      </c>
      <c r="B23" s="11" t="s">
        <v>60</v>
      </c>
      <c r="C23" s="11" t="s">
        <v>61</v>
      </c>
      <c r="D23" s="11" t="s">
        <v>19</v>
      </c>
      <c r="E23" s="11"/>
      <c r="F23" s="5"/>
      <c r="G23" s="5"/>
      <c r="H23" s="4" t="s">
        <v>93</v>
      </c>
      <c r="I23" s="4"/>
      <c r="J23" s="17"/>
      <c r="K23" s="17"/>
      <c r="L23" s="4" t="s">
        <v>94</v>
      </c>
    </row>
    <row r="24" spans="1:12" ht="65" x14ac:dyDescent="0.35">
      <c r="A24" s="12" t="s">
        <v>95</v>
      </c>
      <c r="B24" s="11" t="s">
        <v>60</v>
      </c>
      <c r="C24" s="11" t="s">
        <v>61</v>
      </c>
      <c r="D24" s="11" t="s">
        <v>19</v>
      </c>
      <c r="E24" s="11"/>
      <c r="F24" s="5"/>
      <c r="G24" s="5"/>
      <c r="H24" s="4" t="s">
        <v>96</v>
      </c>
      <c r="I24" s="4"/>
      <c r="J24" s="17"/>
      <c r="K24" s="17"/>
      <c r="L24" s="4" t="s">
        <v>97</v>
      </c>
    </row>
    <row r="25" spans="1:12" ht="65" x14ac:dyDescent="0.35">
      <c r="A25" s="12" t="s">
        <v>98</v>
      </c>
      <c r="B25" s="11" t="s">
        <v>60</v>
      </c>
      <c r="C25" s="11" t="s">
        <v>61</v>
      </c>
      <c r="D25" s="11" t="s">
        <v>19</v>
      </c>
      <c r="E25" s="11"/>
      <c r="F25" s="5"/>
      <c r="G25" s="5"/>
      <c r="H25" s="4" t="s">
        <v>99</v>
      </c>
      <c r="I25" s="4"/>
      <c r="J25" s="17"/>
      <c r="K25" s="17"/>
      <c r="L25" s="4" t="s">
        <v>100</v>
      </c>
    </row>
    <row r="26" spans="1:12" ht="65" x14ac:dyDescent="0.35">
      <c r="A26" s="12" t="s">
        <v>101</v>
      </c>
      <c r="B26" s="11" t="s">
        <v>60</v>
      </c>
      <c r="C26" s="11" t="s">
        <v>61</v>
      </c>
      <c r="D26" s="11" t="s">
        <v>19</v>
      </c>
      <c r="E26" s="11"/>
      <c r="F26" s="5"/>
      <c r="G26" s="5"/>
      <c r="H26" s="4" t="s">
        <v>102</v>
      </c>
      <c r="I26" s="4"/>
      <c r="J26" s="17"/>
      <c r="K26" s="17"/>
      <c r="L26" s="4" t="s">
        <v>103</v>
      </c>
    </row>
    <row r="27" spans="1:12" ht="65" x14ac:dyDescent="0.35">
      <c r="A27" s="12" t="s">
        <v>104</v>
      </c>
      <c r="B27" s="11" t="s">
        <v>60</v>
      </c>
      <c r="C27" s="11" t="s">
        <v>61</v>
      </c>
      <c r="D27" s="11" t="s">
        <v>19</v>
      </c>
      <c r="E27" s="11"/>
      <c r="F27" s="5"/>
      <c r="G27" s="5"/>
      <c r="H27" s="4" t="s">
        <v>105</v>
      </c>
      <c r="I27" s="4"/>
      <c r="J27" s="17"/>
      <c r="K27" s="17"/>
      <c r="L27" s="4" t="s">
        <v>106</v>
      </c>
    </row>
    <row r="28" spans="1:12" x14ac:dyDescent="0.35">
      <c r="A28" s="4" t="s">
        <v>107</v>
      </c>
      <c r="B28" s="5"/>
      <c r="C28" s="5" t="s">
        <v>11</v>
      </c>
      <c r="D28" s="5" t="s">
        <v>113</v>
      </c>
      <c r="E28" s="18" t="s">
        <v>13</v>
      </c>
      <c r="F28" s="19" t="s">
        <v>107</v>
      </c>
      <c r="G28" s="5"/>
      <c r="H28" s="5"/>
      <c r="I28" s="5"/>
      <c r="J28" s="5"/>
      <c r="K28" s="5"/>
      <c r="L28" s="5" t="s">
        <v>126</v>
      </c>
    </row>
    <row r="29" spans="1:12" x14ac:dyDescent="0.35">
      <c r="A29" s="4" t="s">
        <v>108</v>
      </c>
      <c r="B29" s="5"/>
      <c r="C29" s="5" t="s">
        <v>11</v>
      </c>
      <c r="D29" s="5" t="s">
        <v>113</v>
      </c>
      <c r="E29" s="5" t="s">
        <v>115</v>
      </c>
      <c r="F29" s="5" t="s">
        <v>114</v>
      </c>
      <c r="G29" s="5"/>
      <c r="H29" s="5"/>
      <c r="I29" s="4" t="s">
        <v>134</v>
      </c>
      <c r="J29" s="5" t="s">
        <v>122</v>
      </c>
      <c r="K29" s="5" t="s">
        <v>123</v>
      </c>
      <c r="L29" s="5" t="s">
        <v>127</v>
      </c>
    </row>
    <row r="30" spans="1:12" x14ac:dyDescent="0.35">
      <c r="A30" s="4" t="s">
        <v>109</v>
      </c>
      <c r="B30" s="5"/>
      <c r="C30" s="5" t="s">
        <v>11</v>
      </c>
      <c r="D30" s="5" t="s">
        <v>113</v>
      </c>
      <c r="E30" s="19" t="s">
        <v>117</v>
      </c>
      <c r="F30" s="19" t="s">
        <v>118</v>
      </c>
      <c r="G30" s="5"/>
      <c r="H30" s="5" t="s">
        <v>116</v>
      </c>
      <c r="I30" s="22" t="s">
        <v>134</v>
      </c>
      <c r="J30" s="21" t="s">
        <v>132</v>
      </c>
      <c r="K30" s="5"/>
      <c r="L30" s="5" t="s">
        <v>128</v>
      </c>
    </row>
    <row r="31" spans="1:12" ht="29" x14ac:dyDescent="0.35">
      <c r="A31" s="4" t="s">
        <v>110</v>
      </c>
      <c r="B31" s="5"/>
      <c r="C31" s="11" t="s">
        <v>61</v>
      </c>
      <c r="D31" s="5" t="s">
        <v>121</v>
      </c>
      <c r="E31" s="5" t="s">
        <v>13</v>
      </c>
      <c r="F31" s="5" t="s">
        <v>120</v>
      </c>
      <c r="G31" s="5"/>
      <c r="H31" s="23" t="s">
        <v>119</v>
      </c>
      <c r="I31" s="4" t="s">
        <v>134</v>
      </c>
      <c r="J31" s="5" t="s">
        <v>44</v>
      </c>
      <c r="K31" s="5" t="s">
        <v>45</v>
      </c>
      <c r="L31" s="5" t="s">
        <v>129</v>
      </c>
    </row>
  </sheetData>
  <conditionalFormatting sqref="K2">
    <cfRule type="duplicateValues" dxfId="6" priority="7"/>
  </conditionalFormatting>
  <conditionalFormatting sqref="F3 L3">
    <cfRule type="duplicateValues" dxfId="5" priority="6"/>
  </conditionalFormatting>
  <conditionalFormatting sqref="K4">
    <cfRule type="duplicateValues" dxfId="4" priority="5"/>
  </conditionalFormatting>
  <conditionalFormatting sqref="F6:F7 L6:L7">
    <cfRule type="duplicateValues" dxfId="3" priority="4"/>
  </conditionalFormatting>
  <conditionalFormatting sqref="F9 L9">
    <cfRule type="duplicateValues" dxfId="2" priority="3"/>
  </conditionalFormatting>
  <conditionalFormatting sqref="L17:L21 H17:H21">
    <cfRule type="duplicateValues" dxfId="1" priority="2"/>
  </conditionalFormatting>
  <conditionalFormatting sqref="L22 H22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="70" zoomScaleNormal="70" workbookViewId="0">
      <selection activeCell="B1" sqref="B1"/>
    </sheetView>
  </sheetViews>
  <sheetFormatPr defaultRowHeight="14.5" x14ac:dyDescent="0.35"/>
  <cols>
    <col min="2" max="2" width="145.90625" customWidth="1"/>
  </cols>
  <sheetData>
    <row r="1" spans="1:2" ht="409.5" x14ac:dyDescent="0.35">
      <c r="A1" s="5">
        <v>1</v>
      </c>
      <c r="B1" s="20" t="s">
        <v>130</v>
      </c>
    </row>
    <row r="2" spans="1:2" ht="232" x14ac:dyDescent="0.35">
      <c r="A2" s="5">
        <v>2</v>
      </c>
      <c r="B2" s="20" t="s">
        <v>131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2025-07-29 15:46:04</KDate>
  <Classification>INTERNAL</Classification>
  <Subclassification/>
  <HostName>AAVAS-VDI-371</HostName>
  <Domain_User>AAVAS/ey.debopoma</Domain_User>
  <IPAdd>10.52.57.124</IPAdd>
  <FilePath>Book4</FilePath>
  <KID>AED25B2871E3638894007644638500</KID>
  <UniqueName/>
  <Suggested/>
  <Justification/>
</Klassify>
</file>

<file path=customXml/itemProps1.xml><?xml version="1.0" encoding="utf-8"?>
<ds:datastoreItem xmlns:ds="http://schemas.openxmlformats.org/officeDocument/2006/customXml" ds:itemID="{B370AB7D-EC0A-43D0-AEAF-EDB39D3CE4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Pseudo code</vt:lpstr>
      <vt:lpstr>Joining Condition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ey.debopoma</dc:creator>
  <cp:lastModifiedBy>ey.debopoma       </cp:lastModifiedBy>
  <dcterms:created xsi:type="dcterms:W3CDTF">2025-07-29T10:01:19Z</dcterms:created>
  <dcterms:modified xsi:type="dcterms:W3CDTF">2025-09-02T10:51:49Z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AED25B2871E3638894007644638500</vt:lpwstr>
  </property>
</Properties>
</file>